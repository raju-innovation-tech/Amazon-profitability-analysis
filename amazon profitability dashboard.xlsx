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mau\Desktop\"/>
    </mc:Choice>
  </mc:AlternateContent>
  <xr:revisionPtr revIDLastSave="0" documentId="13_ncr:1_{141363CF-B374-4AB0-8492-0B843E85D9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7" l="1"/>
  <c r="H2" i="7" s="1"/>
  <c r="D2" i="7" s="1"/>
  <c r="F2" i="7"/>
  <c r="I2" i="7"/>
  <c r="H4" i="7"/>
  <c r="D4" i="7"/>
  <c r="G3" i="7"/>
  <c r="H3" i="7" s="1"/>
  <c r="D3" i="7" s="1"/>
  <c r="F3" i="7"/>
  <c r="I4" i="7"/>
  <c r="I3" i="7"/>
  <c r="G4" i="7"/>
  <c r="F4" i="7"/>
  <c r="E4" i="7"/>
  <c r="E3" i="7"/>
  <c r="E2" i="7"/>
  <c r="C4" i="2"/>
  <c r="C5" i="2" s="1"/>
  <c r="C5" i="3" s="1"/>
  <c r="C7" i="3" s="1"/>
  <c r="B3" i="6"/>
  <c r="C3" i="5"/>
  <c r="C2" i="5"/>
  <c r="B5" i="4"/>
  <c r="B4" i="4"/>
  <c r="B2" i="4"/>
  <c r="C6" i="3"/>
  <c r="C4" i="3"/>
  <c r="C3" i="3"/>
  <c r="C2" i="3"/>
  <c r="C6" i="2"/>
  <c r="C3" i="2"/>
  <c r="C2" i="2"/>
  <c r="B2" i="6" l="1"/>
  <c r="B4" i="6" s="1"/>
  <c r="B5" i="6" s="1"/>
  <c r="C8" i="3"/>
  <c r="B3" i="4" l="1"/>
  <c r="B6" i="4"/>
</calcChain>
</file>

<file path=xl/sharedStrings.xml><?xml version="1.0" encoding="utf-8"?>
<sst xmlns="http://schemas.openxmlformats.org/spreadsheetml/2006/main" count="71" uniqueCount="56">
  <si>
    <t>Parameter</t>
  </si>
  <si>
    <t>Value</t>
  </si>
  <si>
    <t>Selling Price</t>
  </si>
  <si>
    <t>Product Cost (COGS)</t>
  </si>
  <si>
    <t>Referral Fee %</t>
  </si>
  <si>
    <t>Ad Spend</t>
  </si>
  <si>
    <t>Ad Units</t>
  </si>
  <si>
    <t>Organic Units</t>
  </si>
  <si>
    <t>Fixed Cost</t>
  </si>
  <si>
    <t>Metric</t>
  </si>
  <si>
    <t>Formula</t>
  </si>
  <si>
    <t>Result</t>
  </si>
  <si>
    <t>Gross Margin</t>
  </si>
  <si>
    <t>SP - COGS</t>
  </si>
  <si>
    <t>Amazon Fee</t>
  </si>
  <si>
    <t>SP × Fee%</t>
  </si>
  <si>
    <t>Ad Cost Per Unit</t>
  </si>
  <si>
    <t>Ad Spend ÷ Ad Units</t>
  </si>
  <si>
    <t>Net Margin Per Ad Unit</t>
  </si>
  <si>
    <t>Gross Margin - Amazon Fee - Ad Cost</t>
  </si>
  <si>
    <t>Organic Margin</t>
  </si>
  <si>
    <t>Gross Margin - Amazon Fee</t>
  </si>
  <si>
    <t>Ad Revenue</t>
  </si>
  <si>
    <t>SP × Ad Units</t>
  </si>
  <si>
    <t>Organic Revenue</t>
  </si>
  <si>
    <t>SP × Organic Units</t>
  </si>
  <si>
    <t>Total Revenue</t>
  </si>
  <si>
    <t>Ad Revenue + Organic Revenue</t>
  </si>
  <si>
    <t>Ad Profit</t>
  </si>
  <si>
    <t>Net Margin × Ad Units</t>
  </si>
  <si>
    <t>Organic Profit</t>
  </si>
  <si>
    <t>Organic Margin × Organic Units</t>
  </si>
  <si>
    <t>Total Profit Before Fixed Cost</t>
  </si>
  <si>
    <t>Ad Profit + Organic Profit</t>
  </si>
  <si>
    <t>Monthly Profit</t>
  </si>
  <si>
    <t>Total Profit - Fixed Cost</t>
  </si>
  <si>
    <t>KPI</t>
  </si>
  <si>
    <t>ACOS</t>
  </si>
  <si>
    <t>TACOS</t>
  </si>
  <si>
    <t>Profit Margin</t>
  </si>
  <si>
    <t>Ad Spend ÷ Ad Revenue ×100</t>
  </si>
  <si>
    <t>Ad Spend ÷ Total Revenue ×100</t>
  </si>
  <si>
    <t>Current Profit</t>
  </si>
  <si>
    <t>Current Ad Spend</t>
  </si>
  <si>
    <t>Break-Even Ad Spend</t>
  </si>
  <si>
    <t>Break-Even ACOS</t>
  </si>
  <si>
    <t>Scenario</t>
  </si>
  <si>
    <t>Profit</t>
  </si>
  <si>
    <t>Current</t>
  </si>
  <si>
    <t>High ACOS</t>
  </si>
  <si>
    <t>Scale Up</t>
  </si>
  <si>
    <t>Revenue</t>
  </si>
  <si>
    <t>Ad cost per Unit</t>
  </si>
  <si>
    <t>net margin</t>
  </si>
  <si>
    <t>Ad profit</t>
  </si>
  <si>
    <t>organic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</si>
</sst>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2" sqref="B12"/>
    </sheetView>
  </sheetViews>
  <sheetFormatPr defaultRowHeight="14.4" x14ac:dyDescent="0.3"/>
  <cols>
    <col min="1" max="1" width="17.77734375" customWidth="1"/>
    <col min="3" max="3" width="8.88671875" customWidth="1"/>
  </cols>
  <sheetData>
    <row r="1" spans="1:2" ht="16.2" customHeight="1" x14ac:dyDescent="0.3">
      <c r="A1" s="1" t="s">
        <v>0</v>
      </c>
      <c r="B1" s="3" t="s">
        <v>1</v>
      </c>
    </row>
    <row r="2" spans="1:2" ht="16.2" customHeight="1" x14ac:dyDescent="0.3">
      <c r="A2" s="4" t="s">
        <v>2</v>
      </c>
      <c r="B2" s="2">
        <v>800</v>
      </c>
    </row>
    <row r="3" spans="1:2" ht="14.4" customHeight="1" x14ac:dyDescent="0.3">
      <c r="A3" s="4" t="s">
        <v>3</v>
      </c>
      <c r="B3" s="2">
        <v>280</v>
      </c>
    </row>
    <row r="4" spans="1:2" ht="14.4" customHeight="1" x14ac:dyDescent="0.3">
      <c r="A4" s="4" t="s">
        <v>4</v>
      </c>
      <c r="B4" s="5">
        <v>0.12</v>
      </c>
    </row>
    <row r="5" spans="1:2" x14ac:dyDescent="0.3">
      <c r="A5" s="4" t="s">
        <v>5</v>
      </c>
      <c r="B5" s="2">
        <v>300000</v>
      </c>
    </row>
    <row r="6" spans="1:2" x14ac:dyDescent="0.3">
      <c r="A6" s="4" t="s">
        <v>6</v>
      </c>
      <c r="B6" s="2">
        <v>1500</v>
      </c>
    </row>
    <row r="7" spans="1:2" ht="15.6" customHeight="1" x14ac:dyDescent="0.3">
      <c r="A7" s="4" t="s">
        <v>7</v>
      </c>
      <c r="B7" s="2">
        <v>2000</v>
      </c>
    </row>
    <row r="8" spans="1:2" ht="16.2" customHeight="1" x14ac:dyDescent="0.3">
      <c r="A8" s="4" t="s">
        <v>8</v>
      </c>
      <c r="B8" s="2">
        <v>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91C4-CDC4-4309-929D-242958721169}">
  <dimension ref="A1:C6"/>
  <sheetViews>
    <sheetView workbookViewId="0">
      <selection activeCell="B4" sqref="B4"/>
    </sheetView>
  </sheetViews>
  <sheetFormatPr defaultRowHeight="14.4" x14ac:dyDescent="0.3"/>
  <cols>
    <col min="1" max="1" width="31.33203125" customWidth="1"/>
    <col min="2" max="2" width="33.44140625" customWidth="1"/>
    <col min="3" max="3" width="25" customWidth="1"/>
  </cols>
  <sheetData>
    <row r="1" spans="1:3" x14ac:dyDescent="0.3">
      <c r="A1" s="1" t="s">
        <v>9</v>
      </c>
      <c r="B1" s="1" t="s">
        <v>10</v>
      </c>
      <c r="C1" s="3" t="s">
        <v>11</v>
      </c>
    </row>
    <row r="2" spans="1:3" ht="16.2" customHeight="1" x14ac:dyDescent="0.3">
      <c r="A2" s="4" t="s">
        <v>12</v>
      </c>
      <c r="B2" s="4" t="s">
        <v>13</v>
      </c>
      <c r="C2" s="2">
        <f>Sheet1!B2-Sheet1!B3</f>
        <v>520</v>
      </c>
    </row>
    <row r="3" spans="1:3" ht="17.399999999999999" customHeight="1" x14ac:dyDescent="0.3">
      <c r="A3" s="4" t="s">
        <v>14</v>
      </c>
      <c r="B3" s="4" t="s">
        <v>15</v>
      </c>
      <c r="C3" s="2">
        <f>Sheet1!B2*Sheet1!B4</f>
        <v>96</v>
      </c>
    </row>
    <row r="4" spans="1:3" ht="14.4" customHeight="1" x14ac:dyDescent="0.3">
      <c r="A4" s="4" t="s">
        <v>16</v>
      </c>
      <c r="B4" s="4" t="s">
        <v>17</v>
      </c>
      <c r="C4" s="7">
        <f>VALUE(Sheet1!B5)/VALUE(Sheet1!B6)</f>
        <v>200</v>
      </c>
    </row>
    <row r="5" spans="1:3" ht="18" customHeight="1" x14ac:dyDescent="0.3">
      <c r="A5" s="4" t="s">
        <v>18</v>
      </c>
      <c r="B5" s="4" t="s">
        <v>19</v>
      </c>
      <c r="C5" s="2">
        <f>C2-C3-C4</f>
        <v>224</v>
      </c>
    </row>
    <row r="6" spans="1:3" ht="15.6" customHeight="1" x14ac:dyDescent="0.3">
      <c r="A6" s="4" t="s">
        <v>20</v>
      </c>
      <c r="B6" s="4" t="s">
        <v>21</v>
      </c>
      <c r="C6" s="2">
        <f>C2-C3</f>
        <v>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8616-EBF7-4428-B88B-CDC8C63FEECF}">
  <dimension ref="A1:C8"/>
  <sheetViews>
    <sheetView workbookViewId="0">
      <selection activeCell="B6" sqref="B6"/>
    </sheetView>
  </sheetViews>
  <sheetFormatPr defaultRowHeight="14.4" x14ac:dyDescent="0.3"/>
  <cols>
    <col min="1" max="1" width="26.6640625" customWidth="1"/>
    <col min="2" max="2" width="27.21875" customWidth="1"/>
    <col min="3" max="3" width="11.88671875" customWidth="1"/>
  </cols>
  <sheetData>
    <row r="1" spans="1:3" x14ac:dyDescent="0.3">
      <c r="A1" s="1" t="s">
        <v>9</v>
      </c>
      <c r="B1" s="1" t="s">
        <v>10</v>
      </c>
      <c r="C1" s="3" t="s">
        <v>1</v>
      </c>
    </row>
    <row r="2" spans="1:3" ht="14.4" customHeight="1" x14ac:dyDescent="0.3">
      <c r="A2" s="4" t="s">
        <v>22</v>
      </c>
      <c r="B2" s="4" t="s">
        <v>23</v>
      </c>
      <c r="C2" s="2">
        <f>VALUE(Sheet1!B2)*VALUE(Sheet1!B6)</f>
        <v>1200000</v>
      </c>
    </row>
    <row r="3" spans="1:3" ht="14.4" customHeight="1" x14ac:dyDescent="0.3">
      <c r="A3" s="4" t="s">
        <v>24</v>
      </c>
      <c r="B3" s="4" t="s">
        <v>25</v>
      </c>
      <c r="C3" s="2">
        <f>VALUE(Sheet1!B2)*VALUE(Sheet1!B7)</f>
        <v>1600000</v>
      </c>
    </row>
    <row r="4" spans="1:3" ht="15.6" customHeight="1" x14ac:dyDescent="0.3">
      <c r="A4" s="4" t="s">
        <v>26</v>
      </c>
      <c r="B4" s="4" t="s">
        <v>27</v>
      </c>
      <c r="C4" s="2">
        <f>SUM(C2+C3)</f>
        <v>2800000</v>
      </c>
    </row>
    <row r="5" spans="1:3" ht="14.4" customHeight="1" x14ac:dyDescent="0.3">
      <c r="A5" s="4" t="s">
        <v>28</v>
      </c>
      <c r="B5" s="4" t="s">
        <v>29</v>
      </c>
      <c r="C5" s="2">
        <f>VALUE(Sheet2!C5)*VALUE(Sheet1!B6)</f>
        <v>336000</v>
      </c>
    </row>
    <row r="6" spans="1:3" ht="17.399999999999999" customHeight="1" x14ac:dyDescent="0.3">
      <c r="A6" s="4" t="s">
        <v>30</v>
      </c>
      <c r="B6" s="4" t="s">
        <v>31</v>
      </c>
      <c r="C6" s="2">
        <f>Sheet2!C6*Sheet1!B7</f>
        <v>848000</v>
      </c>
    </row>
    <row r="7" spans="1:3" ht="17.399999999999999" customHeight="1" x14ac:dyDescent="0.3">
      <c r="A7" s="4" t="s">
        <v>32</v>
      </c>
      <c r="B7" s="4" t="s">
        <v>33</v>
      </c>
      <c r="C7" s="2">
        <f>SUM(Sheet3!C5+Sheet3!C6)</f>
        <v>1184000</v>
      </c>
    </row>
    <row r="8" spans="1:3" ht="16.8" customHeight="1" x14ac:dyDescent="0.3">
      <c r="A8" s="4" t="s">
        <v>34</v>
      </c>
      <c r="B8" s="4" t="s">
        <v>35</v>
      </c>
      <c r="C8" s="2">
        <f>Sheet3!C7-Sheet1!B8</f>
        <v>1034000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B735-0BA8-4878-9A36-9422E4F8DD9C}">
  <dimension ref="A1:B6"/>
  <sheetViews>
    <sheetView workbookViewId="0">
      <selection activeCell="E14" sqref="E14"/>
    </sheetView>
  </sheetViews>
  <sheetFormatPr defaultRowHeight="14.4" x14ac:dyDescent="0.3"/>
  <cols>
    <col min="1" max="1" width="13.88671875" customWidth="1"/>
    <col min="2" max="2" width="14.44140625" customWidth="1"/>
  </cols>
  <sheetData>
    <row r="1" spans="1:2" x14ac:dyDescent="0.3">
      <c r="A1" s="1" t="s">
        <v>36</v>
      </c>
      <c r="B1" s="3" t="s">
        <v>1</v>
      </c>
    </row>
    <row r="2" spans="1:2" ht="18" customHeight="1" x14ac:dyDescent="0.3">
      <c r="A2" s="4" t="s">
        <v>26</v>
      </c>
      <c r="B2" s="2">
        <f>VLOOKUP(A2,Sheet3!A:C,3,0)</f>
        <v>2800000</v>
      </c>
    </row>
    <row r="3" spans="1:2" ht="15.6" customHeight="1" x14ac:dyDescent="0.3">
      <c r="A3" s="4" t="s">
        <v>34</v>
      </c>
      <c r="B3" s="2">
        <f>VLOOKUP(A3,Sheet3!A:C,3,0)</f>
        <v>1034000</v>
      </c>
    </row>
    <row r="4" spans="1:2" x14ac:dyDescent="0.3">
      <c r="A4" s="4" t="s">
        <v>37</v>
      </c>
      <c r="B4" s="5">
        <f>(Sheet1!B5/Sheet3!C2)</f>
        <v>0.25</v>
      </c>
    </row>
    <row r="5" spans="1:2" x14ac:dyDescent="0.3">
      <c r="A5" s="4" t="s">
        <v>38</v>
      </c>
      <c r="B5" s="6">
        <f>Sheet1!B5/Sheet3!C4</f>
        <v>0.10714285714285714</v>
      </c>
    </row>
    <row r="6" spans="1:2" ht="14.4" customHeight="1" x14ac:dyDescent="0.3">
      <c r="A6" s="4" t="s">
        <v>39</v>
      </c>
      <c r="B6" s="6">
        <f>Sheet3!C8/Sheet3!C4</f>
        <v>0.36928571428571427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1422-6632-48D0-A7A9-240ED62A2A1C}">
  <dimension ref="A1:C3"/>
  <sheetViews>
    <sheetView tabSelected="1" workbookViewId="0">
      <selection activeCell="F4" sqref="F4"/>
    </sheetView>
  </sheetViews>
  <sheetFormatPr defaultRowHeight="14.4" x14ac:dyDescent="0.3"/>
  <cols>
    <col min="1" max="1" width="13.77734375" customWidth="1"/>
    <col min="2" max="2" width="36.88671875" customWidth="1"/>
    <col min="3" max="3" width="13.33203125" customWidth="1"/>
  </cols>
  <sheetData>
    <row r="1" spans="1:3" x14ac:dyDescent="0.3">
      <c r="A1" s="1" t="s">
        <v>9</v>
      </c>
      <c r="B1" s="1" t="s">
        <v>10</v>
      </c>
      <c r="C1" s="3" t="s">
        <v>11</v>
      </c>
    </row>
    <row r="2" spans="1:3" ht="19.2" customHeight="1" x14ac:dyDescent="0.3">
      <c r="A2" s="4" t="s">
        <v>37</v>
      </c>
      <c r="B2" s="4" t="s">
        <v>40</v>
      </c>
      <c r="C2" s="5">
        <f>VLOOKUP(A2,Sheet4!A:B,2,0)</f>
        <v>0.25</v>
      </c>
    </row>
    <row r="3" spans="1:3" ht="15.6" customHeight="1" x14ac:dyDescent="0.3">
      <c r="A3" s="4" t="s">
        <v>38</v>
      </c>
      <c r="B3" s="4" t="s">
        <v>41</v>
      </c>
      <c r="C3" s="6">
        <f>VLOOKUP(A3,Sheet4!A:B,2,0)</f>
        <v>0.10714285714285714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5617-BC8E-418E-AAE2-3CC1834772EA}">
  <dimension ref="A1:B5"/>
  <sheetViews>
    <sheetView workbookViewId="0">
      <selection activeCell="E7" sqref="E7"/>
    </sheetView>
  </sheetViews>
  <sheetFormatPr defaultRowHeight="14.4" x14ac:dyDescent="0.3"/>
  <cols>
    <col min="1" max="1" width="20.109375" customWidth="1"/>
    <col min="2" max="2" width="11.6640625" customWidth="1"/>
  </cols>
  <sheetData>
    <row r="1" spans="1:2" x14ac:dyDescent="0.3">
      <c r="A1" s="1" t="s">
        <v>9</v>
      </c>
      <c r="B1" s="3" t="s">
        <v>1</v>
      </c>
    </row>
    <row r="2" spans="1:2" ht="16.2" customHeight="1" x14ac:dyDescent="0.3">
      <c r="A2" s="4" t="s">
        <v>42</v>
      </c>
      <c r="B2" s="2">
        <f>Sheet3!C7-Sheet1!B8</f>
        <v>1034000</v>
      </c>
    </row>
    <row r="3" spans="1:2" ht="18" customHeight="1" x14ac:dyDescent="0.3">
      <c r="A3" s="4" t="s">
        <v>43</v>
      </c>
      <c r="B3" s="2">
        <f>VLOOKUP(Sheet1!A5,Sheet1!A:B,2,0)</f>
        <v>300000</v>
      </c>
    </row>
    <row r="4" spans="1:2" ht="15" customHeight="1" x14ac:dyDescent="0.3">
      <c r="A4" s="4" t="s">
        <v>44</v>
      </c>
      <c r="B4" s="2">
        <f>SUM(B2+B3)</f>
        <v>1334000</v>
      </c>
    </row>
    <row r="5" spans="1:2" ht="16.2" customHeight="1" x14ac:dyDescent="0.3">
      <c r="A5" s="4" t="s">
        <v>45</v>
      </c>
      <c r="B5" s="5">
        <f>B4/Sheet3!C2</f>
        <v>1.1116666666666666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CAE2-5B06-497B-8FF6-6D10B89FD6C2}">
  <dimension ref="A1:J4"/>
  <sheetViews>
    <sheetView topLeftCell="E1" workbookViewId="0">
      <selection activeCell="H9" sqref="H9"/>
    </sheetView>
  </sheetViews>
  <sheetFormatPr defaultRowHeight="14.4" x14ac:dyDescent="0.3"/>
  <cols>
    <col min="1" max="1" width="12.109375" style="9" customWidth="1"/>
    <col min="2" max="3" width="8.88671875" style="9"/>
    <col min="4" max="4" width="13.88671875" style="9" customWidth="1"/>
    <col min="5" max="5" width="10" style="8" customWidth="1"/>
    <col min="6" max="6" width="15.109375" style="8" customWidth="1"/>
    <col min="7" max="7" width="27.88671875" style="8" customWidth="1"/>
    <col min="8" max="8" width="10" style="8" customWidth="1"/>
    <col min="9" max="9" width="13.44140625" style="8" customWidth="1"/>
    <col min="10" max="10" width="15.109375" style="8" customWidth="1"/>
    <col min="11" max="11" width="56.77734375" customWidth="1"/>
    <col min="12" max="12" width="36.5546875" customWidth="1"/>
  </cols>
  <sheetData>
    <row r="1" spans="1:10" ht="19.2" customHeight="1" x14ac:dyDescent="0.3">
      <c r="A1" s="10" t="s">
        <v>46</v>
      </c>
      <c r="B1" s="10" t="s">
        <v>5</v>
      </c>
      <c r="C1" s="10" t="s">
        <v>6</v>
      </c>
      <c r="D1" s="10" t="s">
        <v>47</v>
      </c>
      <c r="E1" s="12" t="s">
        <v>51</v>
      </c>
      <c r="F1" s="12" t="s">
        <v>52</v>
      </c>
      <c r="G1" s="12" t="s">
        <v>53</v>
      </c>
      <c r="H1" s="12" t="s">
        <v>54</v>
      </c>
      <c r="I1" s="12" t="s">
        <v>55</v>
      </c>
      <c r="J1" s="12"/>
    </row>
    <row r="2" spans="1:10" x14ac:dyDescent="0.3">
      <c r="A2" s="11" t="s">
        <v>48</v>
      </c>
      <c r="B2" s="11">
        <v>300000</v>
      </c>
      <c r="C2" s="11">
        <v>1500</v>
      </c>
      <c r="D2" s="11">
        <f>H2+I2-Sheet1!B8</f>
        <v>1034000</v>
      </c>
      <c r="E2" s="8">
        <f>C2*Sheet1!B2</f>
        <v>1200000</v>
      </c>
      <c r="F2" s="8">
        <f>B2/C2</f>
        <v>200</v>
      </c>
      <c r="G2" s="8">
        <f>Sheet2!C2-Sheet2!C3-Sheet7!$F$2</f>
        <v>224</v>
      </c>
      <c r="H2" s="8">
        <f>G2*C2</f>
        <v>336000</v>
      </c>
      <c r="I2" s="8">
        <f>Sheet2!C6 * Sheet1!B7</f>
        <v>848000</v>
      </c>
    </row>
    <row r="3" spans="1:10" ht="12.6" customHeight="1" x14ac:dyDescent="0.3">
      <c r="A3" s="11" t="s">
        <v>49</v>
      </c>
      <c r="B3" s="11">
        <v>384000</v>
      </c>
      <c r="C3" s="11">
        <v>1200</v>
      </c>
      <c r="D3" s="11">
        <f>H3+I3-Sheet1!B8</f>
        <v>822800</v>
      </c>
      <c r="E3" s="8">
        <f>C3*Sheet1!B2</f>
        <v>960000</v>
      </c>
      <c r="F3" s="8">
        <f>B3/C3</f>
        <v>320</v>
      </c>
      <c r="G3" s="8">
        <f>Sheet2!C2-Sheet2!C3-Sheet7!$F$3</f>
        <v>104</v>
      </c>
      <c r="H3" s="8">
        <f>G3*C3</f>
        <v>124800</v>
      </c>
      <c r="I3" s="8">
        <f>Sheet2!C6*Sheet1!B7</f>
        <v>848000</v>
      </c>
    </row>
    <row r="4" spans="1:10" x14ac:dyDescent="0.3">
      <c r="A4" s="11" t="s">
        <v>50</v>
      </c>
      <c r="B4" s="11">
        <v>600000</v>
      </c>
      <c r="C4" s="11">
        <v>2500</v>
      </c>
      <c r="D4" s="11">
        <f>H4+I4-Sheet1!B8</f>
        <v>1158000</v>
      </c>
      <c r="E4" s="8">
        <f>C4*Sheet1!B2</f>
        <v>2000000</v>
      </c>
      <c r="F4" s="8">
        <f>B4/C4</f>
        <v>240</v>
      </c>
      <c r="G4" s="8">
        <f>Sheet2!C2-Sheet2!C3-$F$4</f>
        <v>184</v>
      </c>
      <c r="H4" s="8">
        <f>G4*C4</f>
        <v>460000</v>
      </c>
      <c r="I4" s="8">
        <f>Sheet2!C6*Sheet1!B7</f>
        <v>848000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Kumar Maurya</dc:creator>
  <cp:lastModifiedBy>Raju Kumar Maurya</cp:lastModifiedBy>
  <dcterms:created xsi:type="dcterms:W3CDTF">2015-06-05T18:17:20Z</dcterms:created>
  <dcterms:modified xsi:type="dcterms:W3CDTF">2026-06-06T13:59:03Z</dcterms:modified>
</cp:coreProperties>
</file>